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0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yasminebassil/Documents/Emory/3_Research/Projects/NavAging_Paper/stat_tests/"/>
    </mc:Choice>
  </mc:AlternateContent>
  <xr:revisionPtr revIDLastSave="0" documentId="13_ncr:9_{8AB8DD72-0D29-8948-BCB3-A946F0724C40}" xr6:coauthVersionLast="47" xr6:coauthVersionMax="47" xr10:uidLastSave="{00000000-0000-0000-0000-000000000000}"/>
  <bookViews>
    <workbookView xWindow="380" yWindow="500" windowWidth="28040" windowHeight="15760" xr2:uid="{00000000-000D-0000-FFFF-FFFF00000000}"/>
  </bookViews>
  <sheets>
    <sheet name="ya_block_data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H13" i="1" l="1"/>
  <c r="H3" i="1"/>
  <c r="H4" i="1"/>
  <c r="H5" i="1"/>
  <c r="H6" i="1"/>
  <c r="H7" i="1"/>
  <c r="H8" i="1"/>
  <c r="H9" i="1"/>
  <c r="H10" i="1"/>
  <c r="H11" i="1"/>
  <c r="H12" i="1"/>
  <c r="H14" i="1"/>
  <c r="H15" i="1"/>
  <c r="H16" i="1"/>
  <c r="H17" i="1"/>
  <c r="H18" i="1"/>
  <c r="H19" i="1"/>
  <c r="H20" i="1"/>
  <c r="H21" i="1"/>
  <c r="H22" i="1"/>
  <c r="H2" i="1"/>
</calcChain>
</file>

<file path=xl/sharedStrings.xml><?xml version="1.0" encoding="utf-8"?>
<sst xmlns="http://purl.oclc.org/ooxml/spreadsheetml/main" count="71" uniqueCount="39">
  <si>
    <t>contrast</t>
  </si>
  <si>
    <t>estimate</t>
  </si>
  <si>
    <t>SE</t>
  </si>
  <si>
    <t>df</t>
  </si>
  <si>
    <t>t.ratio</t>
  </si>
  <si>
    <t>p.value</t>
  </si>
  <si>
    <t>Source</t>
  </si>
  <si>
    <t>m_ct_block.1</t>
  </si>
  <si>
    <t>Block_num1 - Block_num2</t>
  </si>
  <si>
    <t>m_ct_block</t>
  </si>
  <si>
    <t>m_ct_block.2</t>
  </si>
  <si>
    <t>Block_num1 - Block_num3</t>
  </si>
  <si>
    <t>m_ct_block.3</t>
  </si>
  <si>
    <t>Block_num2 - Block_num3</t>
  </si>
  <si>
    <t>m_dt_block.1</t>
  </si>
  <si>
    <t>m_dt_block</t>
  </si>
  <si>
    <t>m_dt_block.2</t>
  </si>
  <si>
    <t>m_dt_block.3</t>
  </si>
  <si>
    <t>m_dwell_block.1</t>
  </si>
  <si>
    <t>m_dwell_block</t>
  </si>
  <si>
    <t>m_dwell_block.2</t>
  </si>
  <si>
    <t>m_dwell_block.3</t>
  </si>
  <si>
    <t>m_navct_block.1</t>
  </si>
  <si>
    <t>m_navct_block</t>
  </si>
  <si>
    <t>m_navct_block.2</t>
  </si>
  <si>
    <t>m_navct_block.3</t>
  </si>
  <si>
    <t>m_orict_block.1</t>
  </si>
  <si>
    <t>m_orict_block</t>
  </si>
  <si>
    <t>m_orict_block.2</t>
  </si>
  <si>
    <t>m_orict_block.3</t>
  </si>
  <si>
    <t>m_speed_block.1</t>
  </si>
  <si>
    <t>m_speed_block</t>
  </si>
  <si>
    <t>m_speed_block.2</t>
  </si>
  <si>
    <t>m_speed_block.3</t>
  </si>
  <si>
    <t>m_teleport_block.1</t>
  </si>
  <si>
    <t>m_teleport_block</t>
  </si>
  <si>
    <t>m_teleport_block.2</t>
  </si>
  <si>
    <t>m_teleport_block.3</t>
  </si>
  <si>
    <t>p.value.corrected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</si>
</sst>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G1" sqref="G1:G1048576"/>
    </sheetView>
  </sheetViews>
  <sheetFormatPr baseColWidth="10" defaultRowHeight="16" x14ac:dyDescent="0.2"/>
  <cols>
    <col min="1" max="1" width="17.1640625" bestFit="1" customWidth="1"/>
    <col min="7" max="8" width="15.1640625" bestFit="1" customWidth="1"/>
  </cols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38</v>
      </c>
      <c r="I1" t="s">
        <v>6</v>
      </c>
    </row>
    <row r="2" spans="1:9" x14ac:dyDescent="0.2">
      <c r="A2" t="s">
        <v>7</v>
      </c>
      <c r="B2" t="s">
        <v>8</v>
      </c>
      <c r="C2">
        <v>29.791031170370399</v>
      </c>
      <c r="D2">
        <v>3.39514352029838</v>
      </c>
      <c r="E2">
        <v>598.00000000000898</v>
      </c>
      <c r="F2">
        <v>8.7746014247292194</v>
      </c>
      <c r="G2" s="1">
        <v>4.5975667717357298E-10</v>
      </c>
      <c r="H2" s="1">
        <f>G2*7</f>
        <v>3.218296740215011E-9</v>
      </c>
      <c r="I2" t="s">
        <v>9</v>
      </c>
    </row>
    <row r="3" spans="1:9" x14ac:dyDescent="0.2">
      <c r="A3" t="s">
        <v>10</v>
      </c>
      <c r="B3" t="s">
        <v>11</v>
      </c>
      <c r="C3">
        <v>36.887141554629601</v>
      </c>
      <c r="D3">
        <v>3.39514352029838</v>
      </c>
      <c r="E3">
        <v>598.00000000000898</v>
      </c>
      <c r="F3">
        <v>10.864678130422</v>
      </c>
      <c r="G3" s="1">
        <v>4.59753457526801E-10</v>
      </c>
      <c r="H3" s="1">
        <f t="shared" ref="H3:H22" si="0">G3*7</f>
        <v>3.218274202687607E-9</v>
      </c>
      <c r="I3" t="s">
        <v>9</v>
      </c>
    </row>
    <row r="4" spans="1:9" x14ac:dyDescent="0.2">
      <c r="A4" t="s">
        <v>12</v>
      </c>
      <c r="B4" t="s">
        <v>13</v>
      </c>
      <c r="C4">
        <v>7.0961103842592497</v>
      </c>
      <c r="D4">
        <v>3.39514352029838</v>
      </c>
      <c r="E4">
        <v>597.99999999998295</v>
      </c>
      <c r="F4">
        <v>2.0900767056927299</v>
      </c>
      <c r="G4" s="1">
        <v>9.2730895718621295E-2</v>
      </c>
      <c r="H4" s="1">
        <f t="shared" si="0"/>
        <v>0.64911627003034911</v>
      </c>
      <c r="I4" t="s">
        <v>9</v>
      </c>
    </row>
    <row r="5" spans="1:9" x14ac:dyDescent="0.2">
      <c r="A5" t="s">
        <v>14</v>
      </c>
      <c r="B5" t="s">
        <v>8</v>
      </c>
      <c r="C5">
        <v>126.37890457757899</v>
      </c>
      <c r="D5">
        <v>20.505756413565599</v>
      </c>
      <c r="E5">
        <v>597.99999999998295</v>
      </c>
      <c r="F5">
        <v>6.1630940126633504</v>
      </c>
      <c r="G5" s="1">
        <v>4.3936674298805697E-9</v>
      </c>
      <c r="H5" s="1">
        <f t="shared" si="0"/>
        <v>3.0755672009163986E-8</v>
      </c>
      <c r="I5" t="s">
        <v>15</v>
      </c>
    </row>
    <row r="6" spans="1:9" x14ac:dyDescent="0.2">
      <c r="A6" t="s">
        <v>16</v>
      </c>
      <c r="B6" t="s">
        <v>11</v>
      </c>
      <c r="C6">
        <v>156.97677278022999</v>
      </c>
      <c r="D6">
        <v>20.505756413565599</v>
      </c>
      <c r="E6">
        <v>597.99999999998295</v>
      </c>
      <c r="F6">
        <v>7.6552539498802599</v>
      </c>
      <c r="G6" s="1">
        <v>4.5998838071881199E-10</v>
      </c>
      <c r="H6" s="1">
        <f t="shared" si="0"/>
        <v>3.2199186650316838E-9</v>
      </c>
      <c r="I6" t="s">
        <v>15</v>
      </c>
    </row>
    <row r="7" spans="1:9" x14ac:dyDescent="0.2">
      <c r="A7" t="s">
        <v>17</v>
      </c>
      <c r="B7" t="s">
        <v>13</v>
      </c>
      <c r="C7">
        <v>30.597868202651298</v>
      </c>
      <c r="D7">
        <v>20.505756413565599</v>
      </c>
      <c r="E7">
        <v>597.99999999998295</v>
      </c>
      <c r="F7">
        <v>1.4921599372169101</v>
      </c>
      <c r="G7" s="1">
        <v>0.29539059051808902</v>
      </c>
      <c r="H7" s="1">
        <f t="shared" si="0"/>
        <v>2.0677341336266233</v>
      </c>
      <c r="I7" t="s">
        <v>15</v>
      </c>
    </row>
    <row r="8" spans="1:9" x14ac:dyDescent="0.2">
      <c r="A8" t="s">
        <v>18</v>
      </c>
      <c r="B8" t="s">
        <v>8</v>
      </c>
      <c r="C8">
        <v>0.41809080132659199</v>
      </c>
      <c r="D8">
        <v>2.69172940365483E-2</v>
      </c>
      <c r="E8">
        <v>597.99999999998295</v>
      </c>
      <c r="F8">
        <v>15.5324231610692</v>
      </c>
      <c r="G8" s="1">
        <v>4.5973125306630901E-10</v>
      </c>
      <c r="H8" s="1">
        <f t="shared" si="0"/>
        <v>3.2181187714641632E-9</v>
      </c>
      <c r="I8" t="s">
        <v>19</v>
      </c>
    </row>
    <row r="9" spans="1:9" x14ac:dyDescent="0.2">
      <c r="A9" t="s">
        <v>20</v>
      </c>
      <c r="B9" t="s">
        <v>11</v>
      </c>
      <c r="C9">
        <v>0.56731614237894701</v>
      </c>
      <c r="D9">
        <v>2.69172940365483E-2</v>
      </c>
      <c r="E9">
        <v>597.99999999998295</v>
      </c>
      <c r="F9">
        <v>21.076269464852</v>
      </c>
      <c r="G9" s="1">
        <v>4.5973125306630901E-10</v>
      </c>
      <c r="H9" s="1">
        <f t="shared" si="0"/>
        <v>3.2181187714641632E-9</v>
      </c>
      <c r="I9" t="s">
        <v>19</v>
      </c>
    </row>
    <row r="10" spans="1:9" x14ac:dyDescent="0.2">
      <c r="A10" t="s">
        <v>21</v>
      </c>
      <c r="B10" t="s">
        <v>13</v>
      </c>
      <c r="C10">
        <v>0.14922534105235499</v>
      </c>
      <c r="D10">
        <v>2.6917294036548401E-2</v>
      </c>
      <c r="E10">
        <v>598.00000000000898</v>
      </c>
      <c r="F10">
        <v>5.54384630378284</v>
      </c>
      <c r="G10" s="1">
        <v>1.3357701467153799E-7</v>
      </c>
      <c r="H10" s="1">
        <f t="shared" si="0"/>
        <v>9.3503910270076593E-7</v>
      </c>
      <c r="I10" t="s">
        <v>19</v>
      </c>
    </row>
    <row r="11" spans="1:9" x14ac:dyDescent="0.2">
      <c r="A11" t="s">
        <v>22</v>
      </c>
      <c r="B11" t="s">
        <v>8</v>
      </c>
      <c r="C11">
        <v>27.947847760185201</v>
      </c>
      <c r="D11">
        <v>3.3839698702901799</v>
      </c>
      <c r="E11">
        <v>597.99999999998295</v>
      </c>
      <c r="F11">
        <v>8.2588937938116693</v>
      </c>
      <c r="G11" s="1">
        <v>4.59767557359214E-10</v>
      </c>
      <c r="H11" s="1">
        <f t="shared" si="0"/>
        <v>3.2183729015144978E-9</v>
      </c>
      <c r="I11" t="s">
        <v>23</v>
      </c>
    </row>
    <row r="12" spans="1:9" x14ac:dyDescent="0.2">
      <c r="A12" t="s">
        <v>24</v>
      </c>
      <c r="B12" t="s">
        <v>11</v>
      </c>
      <c r="C12">
        <v>34.448144170833402</v>
      </c>
      <c r="D12">
        <v>3.3839698702901799</v>
      </c>
      <c r="E12">
        <v>597.99999999998295</v>
      </c>
      <c r="F12">
        <v>10.1798022710762</v>
      </c>
      <c r="G12" s="1">
        <v>4.5975889761962202E-10</v>
      </c>
      <c r="H12" s="1">
        <f t="shared" si="0"/>
        <v>3.2183122833373541E-9</v>
      </c>
      <c r="I12" t="s">
        <v>23</v>
      </c>
    </row>
    <row r="13" spans="1:9" x14ac:dyDescent="0.2">
      <c r="A13" t="s">
        <v>25</v>
      </c>
      <c r="B13" t="s">
        <v>13</v>
      </c>
      <c r="C13">
        <v>6.5002964106481604</v>
      </c>
      <c r="D13">
        <v>3.3839698702901799</v>
      </c>
      <c r="E13">
        <v>598.00000000000898</v>
      </c>
      <c r="F13">
        <v>1.92090847726453</v>
      </c>
      <c r="G13" s="1">
        <v>0.13365600971448399</v>
      </c>
      <c r="H13" s="1">
        <f>G13*7</f>
        <v>0.93559206800138794</v>
      </c>
      <c r="I13" t="s">
        <v>23</v>
      </c>
    </row>
    <row r="14" spans="1:9" x14ac:dyDescent="0.2">
      <c r="A14" t="s">
        <v>26</v>
      </c>
      <c r="B14" t="s">
        <v>8</v>
      </c>
      <c r="C14">
        <v>1.8431834101851801</v>
      </c>
      <c r="D14">
        <v>0.19476900297078001</v>
      </c>
      <c r="E14">
        <v>597.99999999998295</v>
      </c>
      <c r="F14">
        <v>9.4634330004846703</v>
      </c>
      <c r="G14" s="1">
        <v>4.5975945273113397E-10</v>
      </c>
      <c r="H14" s="1">
        <f t="shared" si="0"/>
        <v>3.2183161691179378E-9</v>
      </c>
      <c r="I14" t="s">
        <v>27</v>
      </c>
    </row>
    <row r="15" spans="1:9" x14ac:dyDescent="0.2">
      <c r="A15" t="s">
        <v>28</v>
      </c>
      <c r="B15" t="s">
        <v>11</v>
      </c>
      <c r="C15">
        <v>2.4389973837962899</v>
      </c>
      <c r="D15">
        <v>0.19476900297078001</v>
      </c>
      <c r="E15">
        <v>597.99999999998295</v>
      </c>
      <c r="F15">
        <v>12.5225130621128</v>
      </c>
      <c r="G15" s="1">
        <v>4.5973125306630901E-10</v>
      </c>
      <c r="H15" s="1">
        <f t="shared" si="0"/>
        <v>3.2181187714641632E-9</v>
      </c>
      <c r="I15" t="s">
        <v>27</v>
      </c>
    </row>
    <row r="16" spans="1:9" x14ac:dyDescent="0.2">
      <c r="A16" t="s">
        <v>29</v>
      </c>
      <c r="B16" t="s">
        <v>13</v>
      </c>
      <c r="C16">
        <v>0.59581397361110999</v>
      </c>
      <c r="D16">
        <v>0.19476900297078101</v>
      </c>
      <c r="E16">
        <v>597.99999999998295</v>
      </c>
      <c r="F16">
        <v>3.0590800616281602</v>
      </c>
      <c r="G16" s="1">
        <v>6.5508228168620298E-3</v>
      </c>
      <c r="H16" s="1">
        <f t="shared" si="0"/>
        <v>4.5855759718034211E-2</v>
      </c>
      <c r="I16" t="s">
        <v>27</v>
      </c>
    </row>
    <row r="17" spans="1:9" x14ac:dyDescent="0.2">
      <c r="A17" t="s">
        <v>30</v>
      </c>
      <c r="B17" t="s">
        <v>8</v>
      </c>
      <c r="C17">
        <v>-4.8420037508468896</v>
      </c>
      <c r="D17">
        <v>0.45936568747040901</v>
      </c>
      <c r="E17">
        <v>598.00000000000898</v>
      </c>
      <c r="F17">
        <v>-10.540630009852</v>
      </c>
      <c r="G17" s="1">
        <v>4.5975745432969001E-10</v>
      </c>
      <c r="H17" s="1">
        <f t="shared" si="0"/>
        <v>3.21830218030783E-9</v>
      </c>
      <c r="I17" t="s">
        <v>31</v>
      </c>
    </row>
    <row r="18" spans="1:9" x14ac:dyDescent="0.2">
      <c r="A18" t="s">
        <v>32</v>
      </c>
      <c r="B18" t="s">
        <v>11</v>
      </c>
      <c r="C18">
        <v>-8.3804934426148208</v>
      </c>
      <c r="D18">
        <v>0.45936568747041001</v>
      </c>
      <c r="E18">
        <v>598.00000000000898</v>
      </c>
      <c r="F18">
        <v>-18.243620869385602</v>
      </c>
      <c r="G18" s="1">
        <v>4.5973125306630901E-10</v>
      </c>
      <c r="H18" s="1">
        <f t="shared" si="0"/>
        <v>3.2181187714641632E-9</v>
      </c>
      <c r="I18" t="s">
        <v>31</v>
      </c>
    </row>
    <row r="19" spans="1:9" x14ac:dyDescent="0.2">
      <c r="A19" t="s">
        <v>33</v>
      </c>
      <c r="B19" t="s">
        <v>13</v>
      </c>
      <c r="C19">
        <v>-3.5384896917679298</v>
      </c>
      <c r="D19">
        <v>0.45936568747041001</v>
      </c>
      <c r="E19">
        <v>598.00000000000898</v>
      </c>
      <c r="F19">
        <v>-7.7029908595335801</v>
      </c>
      <c r="G19" s="1">
        <v>4.5992054609200698E-10</v>
      </c>
      <c r="H19" s="1">
        <f t="shared" si="0"/>
        <v>3.2194438226440488E-9</v>
      </c>
      <c r="I19" t="s">
        <v>31</v>
      </c>
    </row>
    <row r="20" spans="1:9" x14ac:dyDescent="0.2">
      <c r="A20" t="s">
        <v>34</v>
      </c>
      <c r="B20" t="s">
        <v>8</v>
      </c>
      <c r="C20">
        <v>19.439814814814699</v>
      </c>
      <c r="D20">
        <v>3.6065198321197198</v>
      </c>
      <c r="E20">
        <v>597.99999999998295</v>
      </c>
      <c r="F20">
        <v>5.3901865842198999</v>
      </c>
      <c r="G20" s="1">
        <v>3.0414873397610599E-7</v>
      </c>
      <c r="H20" s="1">
        <f t="shared" si="0"/>
        <v>2.1290411378327417E-6</v>
      </c>
      <c r="I20" t="s">
        <v>35</v>
      </c>
    </row>
    <row r="21" spans="1:9" x14ac:dyDescent="0.2">
      <c r="A21" t="s">
        <v>36</v>
      </c>
      <c r="B21" t="s">
        <v>11</v>
      </c>
      <c r="C21">
        <v>24.657407407407302</v>
      </c>
      <c r="D21">
        <v>3.6065198321197198</v>
      </c>
      <c r="E21">
        <v>597.99999999998295</v>
      </c>
      <c r="F21">
        <v>6.8368977726971201</v>
      </c>
      <c r="G21" s="1">
        <v>5.1980508786186895E-10</v>
      </c>
      <c r="H21" s="1">
        <f t="shared" si="0"/>
        <v>3.6386356150330828E-9</v>
      </c>
      <c r="I21" t="s">
        <v>35</v>
      </c>
    </row>
    <row r="22" spans="1:9" x14ac:dyDescent="0.2">
      <c r="A22" t="s">
        <v>37</v>
      </c>
      <c r="B22" t="s">
        <v>13</v>
      </c>
      <c r="C22">
        <v>5.2175925925925997</v>
      </c>
      <c r="D22">
        <v>3.6065198321197198</v>
      </c>
      <c r="E22">
        <v>598.00000000000898</v>
      </c>
      <c r="F22">
        <v>1.4467111884772199</v>
      </c>
      <c r="G22" s="1">
        <v>0.31766812608786699</v>
      </c>
      <c r="H22" s="1">
        <f t="shared" si="0"/>
        <v>2.2236768826150688</v>
      </c>
      <c r="I22" t="s">
        <v>35</v>
      </c>
    </row>
  </sheetData>
  <conditionalFormatting sqref="H1:H1048576">
    <cfRule type="cellIs" dxfId="5" priority="6" operator="between">
      <formula>0.05</formula>
      <formula>0.01</formula>
    </cfRule>
    <cfRule type="cellIs" dxfId="4" priority="5" operator="between">
      <formula>0.01</formula>
      <formula>0.001</formula>
    </cfRule>
    <cfRule type="cellIs" dxfId="3" priority="4" operator="lessThan">
      <formula>0.001</formula>
    </cfRule>
  </conditionalFormatting>
  <conditionalFormatting sqref="G1:G1048576">
    <cfRule type="cellIs" dxfId="0" priority="1" operator="lessThan">
      <formula>0.001</formula>
    </cfRule>
    <cfRule type="cellIs" dxfId="1" priority="2" operator="between">
      <formula>0.01</formula>
      <formula>0.001</formula>
    </cfRule>
    <cfRule type="cellIs" dxfId="2" priority="3" operator="between">
      <formula>0.05</formula>
      <formula>0.01</formula>
    </cfRule>
  </conditionalFormatting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ya_block_data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2024-11-07T22:22:04Z</dcterms:created>
  <dcterms:modified xsi:type="dcterms:W3CDTF">2024-11-07T22:38:23Z</dcterms:modified>
</cp:coreProperties>
</file>